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rainbird-my.sharepoint.com/personal/smascarenhas_rainbird_com/Documents/Desktop/"/>
    </mc:Choice>
  </mc:AlternateContent>
  <xr:revisionPtr revIDLastSave="2" documentId="11_8AB32FA196381C7C71F2741FAB570FB37CD9C165" xr6:coauthVersionLast="47" xr6:coauthVersionMax="47" xr10:uidLastSave="{3ED7199C-497D-4ABA-B479-3712A4F22798}"/>
  <bookViews>
    <workbookView xWindow="-110" yWindow="-110" windowWidth="19420" windowHeight="10560" firstSheet="2" activeTab="7" xr2:uid="{00000000-000D-0000-FFFF-FFFF00000000}"/>
  </bookViews>
  <sheets>
    <sheet name="Questions 1" sheetId="1" r:id="rId1"/>
    <sheet name="Question 2" sheetId="2" r:id="rId2"/>
    <sheet name="Question 3" sheetId="3" r:id="rId3"/>
    <sheet name="Question 4" sheetId="4" r:id="rId4"/>
    <sheet name="Question 5" sheetId="5" r:id="rId5"/>
    <sheet name="Question 6" sheetId="6" r:id="rId6"/>
    <sheet name="Question 7" sheetId="9" r:id="rId7"/>
    <sheet name="Question 8" sheetId="10" r:id="rId8"/>
  </sheets>
  <definedNames>
    <definedName name="_xlnm._FilterDatabase" localSheetId="1" hidden="1">'Question 2'!$C$16:$E$19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9" l="1"/>
  <c r="G9" i="9"/>
  <c r="B26" i="10"/>
  <c r="C23" i="10"/>
  <c r="D23" i="10" s="1"/>
  <c r="C19" i="10"/>
  <c r="C18" i="10"/>
  <c r="G13" i="9"/>
  <c r="E5" i="9"/>
  <c r="D31" i="9"/>
  <c r="D30" i="9"/>
  <c r="D29" i="9"/>
  <c r="D28" i="9"/>
  <c r="C26" i="6" l="1"/>
  <c r="C21" i="6"/>
  <c r="C16" i="6"/>
  <c r="C11" i="6"/>
  <c r="C6" i="6"/>
</calcChain>
</file>

<file path=xl/sharedStrings.xml><?xml version="1.0" encoding="utf-8"?>
<sst xmlns="http://schemas.openxmlformats.org/spreadsheetml/2006/main" count="271" uniqueCount="179">
  <si>
    <t>1. What is data cleaning, and why is it important in data analysis?</t>
  </si>
  <si>
    <t>Ans</t>
  </si>
  <si>
    <r>
      <t>Data cleaning</t>
    </r>
    <r>
      <rPr>
        <sz val="11"/>
        <color theme="1"/>
        <rFont val="Calibri"/>
        <family val="2"/>
        <scheme val="minor"/>
      </rPr>
      <t xml:space="preserve"> is the process of identifying and correcting errors, inconsistencies, duplicates, and missing values in data to improve its quality. It is important because clean data ensures accurate analysis, reliable insights, better decision-making, and trustworthy results in data analysis and reporting.</t>
    </r>
  </si>
  <si>
    <t>2. What are the potential consequences of analyzing unclean or messy data?</t>
  </si>
  <si>
    <t>Incorrect or misleading results</t>
  </si>
  <si>
    <t>Poor business or operational decisions</t>
  </si>
  <si>
    <t>Inaccurate reports and forecasts</t>
  </si>
  <si>
    <t>Reduced credibility of analysis</t>
  </si>
  <si>
    <t>Errors in calculations and models</t>
  </si>
  <si>
    <t>Wasted time fixing issues at later stages</t>
  </si>
  <si>
    <t>3. Explain the common steps involved in cleaning and organizing data.</t>
  </si>
  <si>
    <t>Removing duplicate records</t>
  </si>
  <si>
    <t>Handling missing values (fill, delete, or impute)</t>
  </si>
  <si>
    <t>Correcting data entry errors</t>
  </si>
  <si>
    <t>Standardizing formats (dates, text, units)</t>
  </si>
  <si>
    <t>Validating data ranges and consistency</t>
  </si>
  <si>
    <t>Removing irrelevant or incorrect outliers</t>
  </si>
  <si>
    <t>Organizing data into a structured and usable format</t>
  </si>
  <si>
    <t>How would you sort the following dataset first by "Department" (A-Z) and then by "Salary" (Largest to Smallest)? Write a step-by-step approach.</t>
  </si>
  <si>
    <t>Q.2</t>
  </si>
  <si>
    <t>Answer:</t>
  </si>
  <si>
    <t>Employee</t>
  </si>
  <si>
    <t>HR</t>
  </si>
  <si>
    <t>IT</t>
  </si>
  <si>
    <t>Department</t>
  </si>
  <si>
    <t>Salary</t>
  </si>
  <si>
    <t>Sonu</t>
  </si>
  <si>
    <t>Pranav</t>
  </si>
  <si>
    <t>Rahul</t>
  </si>
  <si>
    <t>Step-by-step approach to sort the dataset in Excel</t>
  </si>
  <si>
    <r>
      <t>1. Select the entire dataset</t>
    </r>
    <r>
      <rPr>
        <sz val="11"/>
        <color theme="1"/>
        <rFont val="Calibri"/>
        <family val="2"/>
        <scheme val="minor"/>
      </rPr>
      <t>, including headers (Employee, Department, Salary).</t>
    </r>
  </si>
  <si>
    <r>
      <t xml:space="preserve">2. Go to the </t>
    </r>
    <r>
      <rPr>
        <b/>
        <sz val="11"/>
        <color theme="1"/>
        <rFont val="Calibri"/>
        <family val="2"/>
        <scheme val="minor"/>
      </rPr>
      <t>Data</t>
    </r>
    <r>
      <rPr>
        <sz val="11"/>
        <color theme="1"/>
        <rFont val="Calibri"/>
        <family val="2"/>
        <scheme val="minor"/>
      </rPr>
      <t xml:space="preserve"> tab on the Excel ribbon.</t>
    </r>
  </si>
  <si>
    <r>
      <t xml:space="preserve">3. Click on the </t>
    </r>
    <r>
      <rPr>
        <b/>
        <sz val="11"/>
        <color theme="1"/>
        <rFont val="Calibri"/>
        <family val="2"/>
        <scheme val="minor"/>
      </rPr>
      <t>Sort</t>
    </r>
    <r>
      <rPr>
        <sz val="11"/>
        <color theme="1"/>
        <rFont val="Calibri"/>
        <family val="2"/>
        <scheme val="minor"/>
      </rPr>
      <t xml:space="preserve"> option.</t>
    </r>
  </si>
  <si>
    <r>
      <t xml:space="preserve">4. In the </t>
    </r>
    <r>
      <rPr>
        <b/>
        <sz val="11"/>
        <color theme="1"/>
        <rFont val="Calibri"/>
        <family val="2"/>
        <scheme val="minor"/>
      </rPr>
      <t>Sort dialog box</t>
    </r>
    <r>
      <rPr>
        <sz val="11"/>
        <color theme="1"/>
        <rFont val="Calibri"/>
        <family val="2"/>
        <scheme val="minor"/>
      </rPr>
      <t>:</t>
    </r>
  </si>
  <si>
    <r>
      <t xml:space="preserve">Check </t>
    </r>
    <r>
      <rPr>
        <b/>
        <sz val="11"/>
        <color theme="1"/>
        <rFont val="Calibri"/>
        <family val="2"/>
        <scheme val="minor"/>
      </rPr>
      <t>“My data has headers.”</t>
    </r>
  </si>
  <si>
    <r>
      <t xml:space="preserve">5. Under </t>
    </r>
    <r>
      <rPr>
        <b/>
        <sz val="11"/>
        <color theme="1"/>
        <rFont val="Calibri"/>
        <family val="2"/>
        <scheme val="minor"/>
      </rPr>
      <t>Sort by</t>
    </r>
    <r>
      <rPr>
        <sz val="11"/>
        <color theme="1"/>
        <rFont val="Calibri"/>
        <family val="2"/>
        <scheme val="minor"/>
      </rPr>
      <t xml:space="preserve">, select </t>
    </r>
    <r>
      <rPr>
        <b/>
        <sz val="11"/>
        <color theme="1"/>
        <rFont val="Calibri"/>
        <family val="2"/>
        <scheme val="minor"/>
      </rPr>
      <t>Department</t>
    </r>
    <r>
      <rPr>
        <sz val="11"/>
        <color theme="1"/>
        <rFont val="Calibri"/>
        <family val="2"/>
        <scheme val="minor"/>
      </rPr>
      <t xml:space="preserve"> and choose </t>
    </r>
    <r>
      <rPr>
        <b/>
        <sz val="11"/>
        <color theme="1"/>
        <rFont val="Calibri"/>
        <family val="2"/>
        <scheme val="minor"/>
      </rPr>
      <t>A to Z</t>
    </r>
    <r>
      <rPr>
        <sz val="11"/>
        <color theme="1"/>
        <rFont val="Calibri"/>
        <family val="2"/>
        <scheme val="minor"/>
      </rPr>
      <t>.</t>
    </r>
  </si>
  <si>
    <r>
      <t xml:space="preserve">6. Click </t>
    </r>
    <r>
      <rPr>
        <b/>
        <sz val="11"/>
        <color theme="1"/>
        <rFont val="Calibri"/>
        <family val="2"/>
        <scheme val="minor"/>
      </rPr>
      <t>Add Level</t>
    </r>
    <r>
      <rPr>
        <sz val="11"/>
        <color theme="1"/>
        <rFont val="Calibri"/>
        <family val="2"/>
        <scheme val="minor"/>
      </rPr>
      <t>.</t>
    </r>
  </si>
  <si>
    <r>
      <t xml:space="preserve">7. Under </t>
    </r>
    <r>
      <rPr>
        <b/>
        <sz val="11"/>
        <color theme="1"/>
        <rFont val="Calibri"/>
        <family val="2"/>
        <scheme val="minor"/>
      </rPr>
      <t>Then by</t>
    </r>
    <r>
      <rPr>
        <sz val="11"/>
        <color theme="1"/>
        <rFont val="Calibri"/>
        <family val="2"/>
        <scheme val="minor"/>
      </rPr>
      <t xml:space="preserve">, select </t>
    </r>
    <r>
      <rPr>
        <b/>
        <sz val="11"/>
        <color theme="1"/>
        <rFont val="Calibri"/>
        <family val="2"/>
        <scheme val="minor"/>
      </rPr>
      <t>Salary</t>
    </r>
    <r>
      <rPr>
        <sz val="11"/>
        <color theme="1"/>
        <rFont val="Calibri"/>
        <family val="2"/>
        <scheme val="minor"/>
      </rPr>
      <t xml:space="preserve"> and choose </t>
    </r>
    <r>
      <rPr>
        <b/>
        <sz val="11"/>
        <color theme="1"/>
        <rFont val="Calibri"/>
        <family val="2"/>
        <scheme val="minor"/>
      </rPr>
      <t>Largest to Smallest</t>
    </r>
    <r>
      <rPr>
        <sz val="11"/>
        <color theme="1"/>
        <rFont val="Calibri"/>
        <family val="2"/>
        <scheme val="minor"/>
      </rPr>
      <t>.</t>
    </r>
  </si>
  <si>
    <r>
      <t xml:space="preserve">8. Click </t>
    </r>
    <r>
      <rPr>
        <b/>
        <sz val="11"/>
        <color theme="1"/>
        <rFont val="Calibri"/>
        <family val="2"/>
        <scheme val="minor"/>
      </rPr>
      <t>OK</t>
    </r>
    <r>
      <rPr>
        <sz val="11"/>
        <color theme="1"/>
        <rFont val="Calibri"/>
        <family val="2"/>
        <scheme val="minor"/>
      </rPr>
      <t>.</t>
    </r>
  </si>
  <si>
    <t>Q3</t>
  </si>
  <si>
    <t>Explain the use of text functions such as TRIM , LEFT, RIGHT, MID, and CONCAT in data cleaning.</t>
  </si>
  <si>
    <t>Ans:</t>
  </si>
  <si>
    <t>1. TRIM()</t>
  </si>
  <si>
    <t>Removes extra spaces from text, except single spaces between words.</t>
  </si>
  <si>
    <r>
      <t>Use:</t>
    </r>
    <r>
      <rPr>
        <sz val="11"/>
        <color theme="1"/>
        <rFont val="Calibri"/>
        <family val="2"/>
        <scheme val="minor"/>
      </rPr>
      <t xml:space="preserve"> Cleans data imported from external sources where extra spaces cause errors in matching or analysis.</t>
    </r>
  </si>
  <si>
    <t>2. LEFT()</t>
  </si>
  <si>
    <t>Extracts a specified number of characters from the left side of text.</t>
  </si>
  <si>
    <r>
      <t>Use:</t>
    </r>
    <r>
      <rPr>
        <sz val="11"/>
        <color theme="1"/>
        <rFont val="Calibri"/>
        <family val="2"/>
        <scheme val="minor"/>
      </rPr>
      <t xml:space="preserve"> Useful for extracting codes, prefixes, or initials from a string.</t>
    </r>
  </si>
  <si>
    <t>3. RIGHT()</t>
  </si>
  <si>
    <t>Extracts a specified number of characters from the right side of text.</t>
  </si>
  <si>
    <r>
      <t>Use:</t>
    </r>
    <r>
      <rPr>
        <sz val="11"/>
        <color theme="1"/>
        <rFont val="Calibri"/>
        <family val="2"/>
        <scheme val="minor"/>
      </rPr>
      <t xml:space="preserve"> Helps retrieve suffixes, last digits, or year values from text entries.</t>
    </r>
  </si>
  <si>
    <t>4. MID()</t>
  </si>
  <si>
    <t>Extracts characters from the middle of text based on a starting position and length.</t>
  </si>
  <si>
    <r>
      <t>Use:</t>
    </r>
    <r>
      <rPr>
        <sz val="11"/>
        <color theme="1"/>
        <rFont val="Calibri"/>
        <family val="2"/>
        <scheme val="minor"/>
      </rPr>
      <t xml:space="preserve"> Useful when required data is embedded within a text string (e.g., extracting department codes).</t>
    </r>
  </si>
  <si>
    <t>5. CONCAT()</t>
  </si>
  <si>
    <t>Joins multiple text strings into one.</t>
  </si>
  <si>
    <r>
      <t>Use:</t>
    </r>
    <r>
      <rPr>
        <sz val="11"/>
        <color theme="1"/>
        <rFont val="Calibri"/>
        <family val="2"/>
        <scheme val="minor"/>
      </rPr>
      <t xml:space="preserve"> Combines first name and last name, or merges cleaned fields into a standardized format.</t>
    </r>
  </si>
  <si>
    <t>Q4</t>
  </si>
  <si>
    <t>What is the role of date functions like TODAY in managing datasets?</t>
  </si>
  <si>
    <r>
      <t xml:space="preserve">Date functions help automate time-based analysis and keep data current. The </t>
    </r>
    <r>
      <rPr>
        <b/>
        <sz val="11"/>
        <color theme="1"/>
        <rFont val="Calibri"/>
        <family val="2"/>
        <scheme val="minor"/>
      </rPr>
      <t>TODAY()</t>
    </r>
    <r>
      <rPr>
        <sz val="11"/>
        <color theme="1"/>
        <rFont val="Calibri"/>
        <family val="2"/>
        <scheme val="minor"/>
      </rPr>
      <t xml:space="preserve"> function returns the current system date and updates automatically.</t>
    </r>
  </si>
  <si>
    <t>Key roles of TODAY():</t>
  </si>
  <si>
    <r>
      <t>1. Track data freshness</t>
    </r>
    <r>
      <rPr>
        <sz val="11"/>
        <color theme="1"/>
        <rFont val="Calibri"/>
        <family val="2"/>
        <scheme val="minor"/>
      </rPr>
      <t xml:space="preserve"> – Helps identify whether records are recent or outdated.</t>
    </r>
  </si>
  <si>
    <r>
      <t>2. Calculate age or duration</t>
    </r>
    <r>
      <rPr>
        <sz val="11"/>
        <color theme="1"/>
        <rFont val="Calibri"/>
        <family val="2"/>
        <scheme val="minor"/>
      </rPr>
      <t xml:space="preserve"> – Used with other date functions to find days passed, turnaround time, or aging.</t>
    </r>
  </si>
  <si>
    <r>
      <t>3. Automate reports</t>
    </r>
    <r>
      <rPr>
        <sz val="11"/>
        <color theme="1"/>
        <rFont val="Calibri"/>
        <family val="2"/>
        <scheme val="minor"/>
      </rPr>
      <t xml:space="preserve"> – Ensures dashboards and reports always reflect the current date without manual updates.</t>
    </r>
  </si>
  <si>
    <r>
      <t>4. Deadline monitoring</t>
    </r>
    <r>
      <rPr>
        <sz val="11"/>
        <color theme="1"/>
        <rFont val="Calibri"/>
        <family val="2"/>
        <scheme val="minor"/>
      </rPr>
      <t xml:space="preserve"> – Compares due dates with today’s date to highlight overdue tasks.</t>
    </r>
  </si>
  <si>
    <r>
      <t>5. Data validation</t>
    </r>
    <r>
      <rPr>
        <sz val="11"/>
        <color theme="1"/>
        <rFont val="Calibri"/>
        <family val="2"/>
        <scheme val="minor"/>
      </rPr>
      <t xml:space="preserve"> – Helps restrict future or past dates using rules.</t>
    </r>
  </si>
  <si>
    <t>Defination:</t>
  </si>
  <si>
    <t>Q5</t>
  </si>
  <si>
    <t xml:space="preserve">Customer Name </t>
  </si>
  <si>
    <t xml:space="preserve">Product Name </t>
  </si>
  <si>
    <t>Category</t>
  </si>
  <si>
    <t xml:space="preserve">Quantity </t>
  </si>
  <si>
    <t>Unit Price ($)</t>
  </si>
  <si>
    <t xml:space="preserve">Jane Smith </t>
  </si>
  <si>
    <t xml:space="preserve"> Shoes </t>
  </si>
  <si>
    <t xml:space="preserve"> Electronics </t>
  </si>
  <si>
    <t xml:space="preserve"> </t>
  </si>
  <si>
    <t xml:space="preserve">Isabella Moore </t>
  </si>
  <si>
    <t xml:space="preserve"> Laptop </t>
  </si>
  <si>
    <t xml:space="preserve">Daniel Davis </t>
  </si>
  <si>
    <t xml:space="preserve"> Sofa </t>
  </si>
  <si>
    <t xml:space="preserve"> Clothing </t>
  </si>
  <si>
    <t xml:space="preserve">Alex Moore </t>
  </si>
  <si>
    <t xml:space="preserve">Michael Johnson </t>
  </si>
  <si>
    <t xml:space="preserve"> Table Lamp </t>
  </si>
  <si>
    <t xml:space="preserve"> Home Decor </t>
  </si>
  <si>
    <t xml:space="preserve">Daniel Johnson </t>
  </si>
  <si>
    <t xml:space="preserve"> Backpack </t>
  </si>
  <si>
    <t xml:space="preserve">Isabella Davis </t>
  </si>
  <si>
    <t xml:space="preserve"> Headphones </t>
  </si>
  <si>
    <t xml:space="preserve">Jane Davis </t>
  </si>
  <si>
    <t xml:space="preserve">Alex Wilson </t>
  </si>
  <si>
    <t xml:space="preserve"> T-shirt </t>
  </si>
  <si>
    <t>Apply Data Validation to restrict Quantity values to only whole numbers between 1 and 10.</t>
  </si>
  <si>
    <t>Q6</t>
  </si>
  <si>
    <t>Understand and apply fundamental text functions like LEFT, RIGHT, MID, and LEN.</t>
  </si>
  <si>
    <t>*</t>
  </si>
  <si>
    <t>Extract the first 5 characters from the string "ExcelTipsAreGreat" using the LEFT function.</t>
  </si>
  <si>
    <t>ExcelTipsAreGreat</t>
  </si>
  <si>
    <t>Task</t>
  </si>
  <si>
    <t>Extract the last 4 characters from "DataAnalysis.xlsx" using the RIGHT function.</t>
  </si>
  <si>
    <t>DataAnalysis.xlsx</t>
  </si>
  <si>
    <t>Result</t>
  </si>
  <si>
    <t>Extract the substring "Tips" from "ExcelTipsAreGreat" using the MID function.</t>
  </si>
  <si>
    <t>Count the total number of characters in the string "Hello World!" using the LEN function.</t>
  </si>
  <si>
    <t>Hello World!</t>
  </si>
  <si>
    <t>Create a formula to extract the middle 6 characters from "12345-67890-ABCDE".</t>
  </si>
  <si>
    <t>12345-67890-ABCDE</t>
  </si>
  <si>
    <t xml:space="preserve">FORMULA :=TRIM(D6) </t>
  </si>
  <si>
    <t>FORMULA : =LEFT(D9,NUM_CHARACTERS)</t>
  </si>
  <si>
    <t>FORMULA : =RIGHT(D12,NUM_CHARACTERS)</t>
  </si>
  <si>
    <t>FORMULA : =MID(D15,Start_num,num_characters)</t>
  </si>
  <si>
    <t>FORMULA : =CONCAT(D18," ",E18)</t>
  </si>
  <si>
    <t xml:space="preserve">Answer: </t>
  </si>
  <si>
    <r>
      <rPr>
        <b/>
        <sz val="14"/>
        <color theme="1"/>
        <rFont val="Calibri"/>
        <family val="2"/>
        <scheme val="minor"/>
      </rPr>
      <t>Solution:</t>
    </r>
    <r>
      <rPr>
        <b/>
        <sz val="11"/>
        <color theme="1"/>
        <rFont val="Calibri"/>
        <family val="2"/>
        <scheme val="minor"/>
      </rPr>
      <t xml:space="preserve">
</t>
    </r>
    <r>
      <rPr>
        <b/>
        <sz val="14"/>
        <color theme="1"/>
        <rFont val="Calibri"/>
        <family val="2"/>
        <scheme val="minor"/>
      </rPr>
      <t>The step-by-step procedure:</t>
    </r>
    <r>
      <rPr>
        <b/>
        <sz val="11"/>
        <color theme="1"/>
        <rFont val="Calibri"/>
        <family val="2"/>
        <scheme val="minor"/>
      </rPr>
      <t xml:space="preserve">
1:-    Select the cells under the Quantity column where you want to apply validation.
2:-    Go to the Data tab on the Ribbon.
3:-    Click Data Validation → Data Validation…
4:-     In the Settings tab:
•	Set Allow to Whole number.
•	Set Data to between.
•	Enter Minimum = 1 and Maximum = 10.
5:-      In the Input Message tab:
•	Check Show input message when cell is selected.
•	Enter the message: “Please enter a whole number between 1 and 10.”
6:-      In the Error Alert tab:
•	Set Style to Stop.
•	Title: “Invalid input!”
•	Error message: “The quantity must be a whole number between 1 and 10.”
7:-       Click OK to apply the settings.
8:-       Test the rule by trying to enter values below 1 or above 10.</t>
    </r>
  </si>
  <si>
    <t xml:space="preserve">SOL. </t>
  </si>
  <si>
    <t>SOL.</t>
  </si>
  <si>
    <t>QUESTION 7: Understand how to combine text using CONCAT, TEXTJOIN, and the &amp; operator.</t>
  </si>
  <si>
    <t>A.</t>
  </si>
  <si>
    <t>Use CONCAT to combine "Hello" and "World" with a space in between.</t>
  </si>
  <si>
    <t xml:space="preserve">SOLUTION: </t>
  </si>
  <si>
    <t>Hello</t>
  </si>
  <si>
    <t>World</t>
  </si>
  <si>
    <t>FORMULA : =CONCAT(B5," ",C5)</t>
  </si>
  <si>
    <t xml:space="preserve">B. </t>
  </si>
  <si>
    <t>Combine "Apple", "Banana", and "Cherry" into a single string separated by commas using TEXTJOIN.</t>
  </si>
  <si>
    <t xml:space="preserve">Apple </t>
  </si>
  <si>
    <t>Banana</t>
  </si>
  <si>
    <t>Cherry</t>
  </si>
  <si>
    <t>FORMULA  : =TEXTJOIN(", ",TRUE,C9,D9,E9)</t>
  </si>
  <si>
    <t>C.</t>
  </si>
  <si>
    <t>Use the &amp; operator to create the string "2025: Excel Functions" by combining "2025", ": ", and "Excel Functions".</t>
  </si>
  <si>
    <t>:</t>
  </si>
  <si>
    <t>Excel function</t>
  </si>
  <si>
    <t>FORMULA : =CONCAT(C13,D13,E13)</t>
  </si>
  <si>
    <t>D.</t>
  </si>
  <si>
    <t>Create a comma-separated list from the range A1:A5 using TEXTJOIN.</t>
  </si>
  <si>
    <t xml:space="preserve">SOLUTION </t>
  </si>
  <si>
    <t>Apple</t>
  </si>
  <si>
    <t>FORMULA : =TEXTJOIN(",",TRUE,B18:B23)</t>
  </si>
  <si>
    <t>Papaya</t>
  </si>
  <si>
    <t>Orange</t>
  </si>
  <si>
    <t>E.</t>
  </si>
  <si>
    <t>Combine first names in column A with last names in column B to create full names in column C.</t>
  </si>
  <si>
    <t>FORMULA: =CONCAT(D28," "C28)</t>
  </si>
  <si>
    <t>First Name</t>
  </si>
  <si>
    <t>Last Name</t>
  </si>
  <si>
    <t>Full Name</t>
  </si>
  <si>
    <t>NIKHIL</t>
  </si>
  <si>
    <t>JHA</t>
  </si>
  <si>
    <t xml:space="preserve">AKHIL </t>
  </si>
  <si>
    <t>AYUSH</t>
  </si>
  <si>
    <t>PRANAV</t>
  </si>
  <si>
    <t>QUESTION 8. Understanding TODAY() and NOW()</t>
  </si>
  <si>
    <t xml:space="preserve"> What is the difference between TODAY() and NOW() in Excel? Provide an example of when you would use _x000B_</t>
  </si>
  <si>
    <t>each function.</t>
  </si>
  <si>
    <r>
      <t>In Excel,, the primary difference between TODAY()</t>
    </r>
    <r>
      <rPr>
        <sz val="12"/>
        <color rgb="FF0A0A0A"/>
        <rFont val="Arial"/>
        <family val="2"/>
      </rPr>
      <t> and NOW() is the level of Purity:  </t>
    </r>
    <r>
      <rPr>
        <sz val="12"/>
        <color rgb="FF0A0A0A"/>
        <rFont val="Arial Unicode MS"/>
        <family val="2"/>
      </rPr>
      <t>TODAY()</t>
    </r>
    <r>
      <rPr>
        <sz val="12"/>
        <color rgb="FF0A0A0A"/>
        <rFont val="Arial"/>
        <family val="2"/>
      </rPr>
      <t> only provides the current date, while </t>
    </r>
  </si>
  <si>
    <r>
      <t>NOW()</t>
    </r>
    <r>
      <rPr>
        <sz val="12"/>
        <color rgb="FF0A0A0A"/>
        <rFont val="Arial"/>
        <family val="2"/>
      </rPr>
      <t> provides both the current date and the exact time. </t>
    </r>
  </si>
  <si>
    <t>.</t>
  </si>
  <si>
    <t xml:space="preserve">When to use TODAY(). </t>
  </si>
  <si>
    <t>:-</t>
  </si>
  <si>
    <t> when you only need the current date for tracking, aging calculations, or static date stamping where the time of day is irrelevant. </t>
  </si>
  <si>
    <t>When to use now().</t>
  </si>
  <si>
    <t xml:space="preserve">when you need a precise timestamp that includes both the current date and time, such as for logging entry times, calculating </t>
  </si>
  <si>
    <t xml:space="preserve"> elapsed hours, or tracking real-time data entry. </t>
  </si>
  <si>
    <t>FORMULA : =TODAY()</t>
  </si>
  <si>
    <t>FORMULA : =NOW()</t>
  </si>
  <si>
    <t>B.</t>
  </si>
  <si>
    <t>If cell A1 contains the date 2025-06-10, write a formula using TODAY() to determine how many days are left until that date.</t>
  </si>
  <si>
    <t xml:space="preserve">CURRENT DATE </t>
  </si>
  <si>
    <t xml:space="preserve">TARGET DATE </t>
  </si>
  <si>
    <t>REMAINING DAYS</t>
  </si>
  <si>
    <t>FORMULA =C23-B23</t>
  </si>
  <si>
    <t>Write an Excel formula using NOW() to display the current date and time in the format MM/DD/YYYY HH:MM AM/PM. ́</t>
  </si>
  <si>
    <t>FORMULA =NOW()</t>
  </si>
  <si>
    <t>If a cell contains =TODAY(), what will happen when the worksheet is reopened the next day? Explain</t>
  </si>
  <si>
    <r>
      <t>When a worksheet containing the </t>
    </r>
    <r>
      <rPr>
        <sz val="11"/>
        <color rgb="FF0A0A0A"/>
        <rFont val="Arial Unicode MS"/>
        <family val="2"/>
      </rPr>
      <t>TODAY()</t>
    </r>
    <r>
      <rPr>
        <sz val="12"/>
        <color rgb="FF0A0A0A"/>
        <rFont val="Arial"/>
        <family val="2"/>
      </rPr>
      <t> function is reopened the next day, </t>
    </r>
    <r>
      <rPr>
        <sz val="11"/>
        <color theme="1"/>
        <rFont val="Calibri"/>
        <family val="2"/>
        <scheme val="minor"/>
      </rPr>
      <t>the function will recalculate and display the new, current date</t>
    </r>
  </si>
  <si>
    <t>You want to store a static date (today’s date) in a cell without it changing every day. What keyboard shortcut should you use?</t>
  </si>
  <si>
    <t>To store a static, non-updating date (today's date) in an Excel cell, use the shortcut Ctrl + ; (semicolon)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</si>
</sst>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h:mm\ AM/PM"/>
  </numFmts>
  <fonts count="11" x14ac:knownFonts="1">
    <font>
      <sz val="11"/>
      <color theme="1"/>
      <name val="Calibri"/>
      <family val="2"/>
      <scheme val="minor"/>
    </font>
    <font>
      <b/>
      <sz val="11"/>
      <color theme="1"/>
      <name val="Calibri"/>
      <family val="2"/>
      <scheme val="minor"/>
    </font>
    <font>
      <b/>
      <sz val="14"/>
      <color theme="1"/>
      <name val="Calibri"/>
      <family val="2"/>
      <scheme val="minor"/>
    </font>
    <font>
      <b/>
      <sz val="13.5"/>
      <color theme="1"/>
      <name val="Calibri"/>
      <family val="2"/>
      <scheme val="minor"/>
    </font>
    <font>
      <b/>
      <sz val="16"/>
      <color theme="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sz val="12"/>
      <color rgb="FF0A0A0A"/>
      <name val="Arial"/>
      <family val="2"/>
    </font>
    <font>
      <sz val="12"/>
      <color rgb="FF0A0A0A"/>
      <name val="Arial Unicode MS"/>
      <family val="2"/>
    </font>
    <font>
      <sz val="11"/>
      <color rgb="FF0A0A0A"/>
      <name val="Arial Unicode MS"/>
      <family val="2"/>
    </font>
  </fonts>
  <fills count="1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4"/>
        <bgColor indexed="64"/>
      </patternFill>
    </fill>
    <fill>
      <patternFill patternType="solid">
        <fgColor theme="8" tint="0.79998168889431442"/>
        <bgColor indexed="64"/>
      </patternFill>
    </fill>
    <fill>
      <patternFill patternType="solid">
        <fgColor rgb="FFFFC000"/>
        <bgColor indexed="64"/>
      </patternFill>
    </fill>
    <fill>
      <patternFill patternType="solid">
        <fgColor rgb="FF00B0F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C00000"/>
        <bgColor indexed="64"/>
      </patternFill>
    </fill>
    <fill>
      <patternFill patternType="solid">
        <fgColor theme="5"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69">
    <xf numFmtId="0" fontId="0" fillId="0" borderId="0" xfId="0"/>
    <xf numFmtId="0" fontId="2" fillId="0" borderId="0" xfId="0" applyFont="1"/>
    <xf numFmtId="0" fontId="2" fillId="2" borderId="0" xfId="0" applyFont="1" applyFill="1"/>
    <xf numFmtId="0" fontId="0" fillId="2" borderId="0" xfId="0" applyFill="1"/>
    <xf numFmtId="0" fontId="1" fillId="0" borderId="0" xfId="0" applyFont="1"/>
    <xf numFmtId="0" fontId="2" fillId="3" borderId="0" xfId="0" applyFont="1" applyFill="1"/>
    <xf numFmtId="0" fontId="1" fillId="0" borderId="0" xfId="0" applyFont="1" applyAlignment="1">
      <alignment wrapText="1"/>
    </xf>
    <xf numFmtId="0" fontId="3" fillId="0" borderId="0" xfId="0" applyFont="1" applyAlignment="1">
      <alignment vertical="center"/>
    </xf>
    <xf numFmtId="0" fontId="3" fillId="2" borderId="0" xfId="0" applyFont="1" applyFill="1" applyAlignment="1">
      <alignment vertical="center"/>
    </xf>
    <xf numFmtId="0" fontId="1" fillId="2" borderId="0" xfId="0" applyFont="1" applyFill="1"/>
    <xf numFmtId="0" fontId="2" fillId="5" borderId="0" xfId="0" applyFont="1" applyFill="1"/>
    <xf numFmtId="0" fontId="4" fillId="5" borderId="0" xfId="0" applyFont="1" applyFill="1"/>
    <xf numFmtId="0" fontId="0" fillId="0" borderId="1" xfId="0" applyBorder="1" applyAlignment="1">
      <alignment horizontal="center" vertical="center"/>
    </xf>
    <xf numFmtId="0" fontId="1" fillId="4" borderId="1" xfId="0" applyFont="1" applyFill="1" applyBorder="1" applyAlignment="1">
      <alignment horizontal="center"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center" vertical="center"/>
    </xf>
    <xf numFmtId="0" fontId="5" fillId="0" borderId="0" xfId="0" applyFont="1"/>
    <xf numFmtId="0" fontId="1" fillId="2" borderId="0" xfId="0" applyFont="1" applyFill="1" applyAlignment="1">
      <alignment horizontal="center" vertical="center"/>
    </xf>
    <xf numFmtId="0" fontId="1" fillId="3" borderId="1" xfId="0" applyFont="1" applyFill="1" applyBorder="1" applyAlignment="1">
      <alignment horizontal="center" vertical="center"/>
    </xf>
    <xf numFmtId="0" fontId="0" fillId="6" borderId="1" xfId="0" applyFill="1" applyBorder="1"/>
    <xf numFmtId="0" fontId="6" fillId="0" borderId="0" xfId="0" applyFont="1"/>
    <xf numFmtId="0" fontId="2" fillId="8" borderId="0" xfId="0" applyFont="1" applyFill="1"/>
    <xf numFmtId="0" fontId="1" fillId="0" borderId="0" xfId="0" applyFont="1" applyAlignment="1">
      <alignment horizontal="right"/>
    </xf>
    <xf numFmtId="0" fontId="2" fillId="10" borderId="10" xfId="0" applyFont="1" applyFill="1" applyBorder="1"/>
    <xf numFmtId="0" fontId="2" fillId="10" borderId="11" xfId="0" applyFont="1" applyFill="1" applyBorder="1"/>
    <xf numFmtId="0" fontId="0" fillId="10" borderId="11" xfId="0" applyFill="1" applyBorder="1"/>
    <xf numFmtId="0" fontId="0" fillId="10" borderId="12" xfId="0" applyFill="1" applyBorder="1"/>
    <xf numFmtId="0" fontId="1" fillId="11" borderId="0" xfId="0" applyFont="1" applyFill="1" applyAlignment="1">
      <alignment horizontal="right"/>
    </xf>
    <xf numFmtId="0" fontId="1" fillId="11" borderId="0" xfId="0" applyFont="1" applyFill="1"/>
    <xf numFmtId="0" fontId="0" fillId="0" borderId="0" xfId="0" applyAlignment="1">
      <alignment horizontal="center"/>
    </xf>
    <xf numFmtId="0" fontId="0" fillId="0" borderId="0" xfId="0" applyAlignment="1">
      <alignment horizontal="right"/>
    </xf>
    <xf numFmtId="0" fontId="0" fillId="11" borderId="13" xfId="0" applyFill="1" applyBorder="1" applyAlignment="1">
      <alignment horizontal="center" vertical="center"/>
    </xf>
    <xf numFmtId="0" fontId="0" fillId="11" borderId="14" xfId="0" applyFill="1" applyBorder="1" applyAlignment="1">
      <alignment horizontal="center" vertical="center"/>
    </xf>
    <xf numFmtId="0" fontId="0" fillId="11" borderId="15" xfId="0" applyFill="1" applyBorder="1" applyAlignment="1">
      <alignment horizontal="center" vertical="center"/>
    </xf>
    <xf numFmtId="0" fontId="1" fillId="0" borderId="0" xfId="0" applyFont="1" applyAlignment="1">
      <alignment horizontal="center" vertical="center"/>
    </xf>
    <xf numFmtId="0" fontId="1" fillId="12" borderId="16" xfId="0" applyFont="1" applyFill="1" applyBorder="1" applyAlignment="1">
      <alignment horizontal="center" vertical="center"/>
    </xf>
    <xf numFmtId="0" fontId="1" fillId="12" borderId="17" xfId="0" applyFont="1" applyFill="1" applyBorder="1" applyAlignment="1">
      <alignment horizontal="center" vertical="center"/>
    </xf>
    <xf numFmtId="0" fontId="1" fillId="12" borderId="18" xfId="0" applyFont="1" applyFill="1" applyBorder="1" applyAlignment="1">
      <alignment horizontal="center" vertical="center"/>
    </xf>
    <xf numFmtId="0" fontId="0" fillId="7" borderId="19" xfId="0" applyFill="1" applyBorder="1" applyAlignment="1">
      <alignment horizontal="center"/>
    </xf>
    <xf numFmtId="0" fontId="0" fillId="7" borderId="1" xfId="0" applyFill="1"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0" fillId="7" borderId="22" xfId="0" applyFill="1" applyBorder="1" applyAlignment="1">
      <alignment horizontal="center"/>
    </xf>
    <xf numFmtId="0" fontId="2" fillId="6" borderId="0" xfId="0" applyFont="1" applyFill="1"/>
    <xf numFmtId="0" fontId="9" fillId="0" borderId="0" xfId="0" applyFont="1"/>
    <xf numFmtId="0" fontId="2" fillId="13" borderId="0" xfId="0" applyFont="1" applyFill="1"/>
    <xf numFmtId="0" fontId="0" fillId="13" borderId="0" xfId="0" applyFill="1"/>
    <xf numFmtId="0" fontId="7" fillId="0" borderId="0" xfId="0" applyFont="1" applyAlignment="1">
      <alignment horizontal="right"/>
    </xf>
    <xf numFmtId="0" fontId="8" fillId="0" borderId="0" xfId="0" applyFont="1"/>
    <xf numFmtId="14" fontId="0" fillId="0" borderId="0" xfId="0" applyNumberFormat="1"/>
    <xf numFmtId="22" fontId="0" fillId="0" borderId="0" xfId="0" applyNumberFormat="1"/>
    <xf numFmtId="0" fontId="0" fillId="0" borderId="1" xfId="0" applyBorder="1" applyAlignment="1">
      <alignment horizontal="right"/>
    </xf>
    <xf numFmtId="14" fontId="0" fillId="0" borderId="1" xfId="0" applyNumberFormat="1" applyBorder="1"/>
    <xf numFmtId="0" fontId="0" fillId="2" borderId="1" xfId="0" applyFill="1" applyBorder="1"/>
    <xf numFmtId="0" fontId="0" fillId="9" borderId="10" xfId="0" applyFill="1" applyBorder="1"/>
    <xf numFmtId="0" fontId="0" fillId="9" borderId="12" xfId="0" applyFill="1" applyBorder="1"/>
    <xf numFmtId="164" fontId="0" fillId="2" borderId="0" xfId="0" applyNumberFormat="1" applyFill="1"/>
    <xf numFmtId="0" fontId="1" fillId="9" borderId="2" xfId="0" applyFont="1" applyFill="1" applyBorder="1" applyAlignment="1">
      <alignment horizontal="left" vertical="top" wrapText="1"/>
    </xf>
    <xf numFmtId="0" fontId="1" fillId="9" borderId="3" xfId="0" applyFont="1" applyFill="1" applyBorder="1" applyAlignment="1">
      <alignment horizontal="left" vertical="top" wrapText="1"/>
    </xf>
    <xf numFmtId="0" fontId="1" fillId="9" borderId="4" xfId="0" applyFont="1" applyFill="1" applyBorder="1" applyAlignment="1">
      <alignment horizontal="left" vertical="top" wrapText="1"/>
    </xf>
    <xf numFmtId="0" fontId="1" fillId="9" borderId="5" xfId="0" applyFont="1" applyFill="1" applyBorder="1" applyAlignment="1">
      <alignment horizontal="left" vertical="top" wrapText="1"/>
    </xf>
    <xf numFmtId="0" fontId="1" fillId="9" borderId="0" xfId="0" applyFont="1" applyFill="1" applyAlignment="1">
      <alignment horizontal="left" vertical="top" wrapText="1"/>
    </xf>
    <xf numFmtId="0" fontId="1" fillId="9" borderId="6" xfId="0" applyFont="1" applyFill="1" applyBorder="1" applyAlignment="1">
      <alignment horizontal="left" vertical="top" wrapText="1"/>
    </xf>
    <xf numFmtId="0" fontId="1" fillId="9" borderId="7" xfId="0" applyFont="1" applyFill="1" applyBorder="1" applyAlignment="1">
      <alignment horizontal="left" vertical="top" wrapText="1"/>
    </xf>
    <xf numFmtId="0" fontId="1" fillId="9" borderId="8" xfId="0" applyFont="1" applyFill="1" applyBorder="1" applyAlignment="1">
      <alignment horizontal="left" vertical="top" wrapText="1"/>
    </xf>
    <xf numFmtId="0" fontId="1" fillId="9" borderId="9" xfId="0" applyFont="1" applyFill="1" applyBorder="1" applyAlignment="1">
      <alignment horizontal="left" vertical="top"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B20" sqref="B20"/>
    </sheetView>
  </sheetViews>
  <sheetFormatPr defaultRowHeight="14.5" x14ac:dyDescent="0.35"/>
  <cols>
    <col min="2" max="2" width="155.08984375" customWidth="1"/>
  </cols>
  <sheetData>
    <row r="1" spans="1:8" ht="18.5" x14ac:dyDescent="0.45">
      <c r="A1" s="2" t="s">
        <v>0</v>
      </c>
      <c r="B1" s="3"/>
      <c r="C1" s="3"/>
      <c r="D1" s="3"/>
      <c r="E1" s="3"/>
      <c r="F1" s="3"/>
      <c r="G1" s="3"/>
      <c r="H1" s="3"/>
    </row>
    <row r="3" spans="1:8" ht="30" x14ac:dyDescent="0.45">
      <c r="A3" s="5" t="s">
        <v>1</v>
      </c>
      <c r="B3" s="6" t="s">
        <v>2</v>
      </c>
    </row>
    <row r="5" spans="1:8" ht="17.5" x14ac:dyDescent="0.35">
      <c r="A5" s="8" t="s">
        <v>3</v>
      </c>
      <c r="B5" s="3"/>
    </row>
    <row r="7" spans="1:8" ht="18.5" x14ac:dyDescent="0.45">
      <c r="A7" s="5" t="s">
        <v>1</v>
      </c>
      <c r="B7" t="s">
        <v>4</v>
      </c>
    </row>
    <row r="8" spans="1:8" x14ac:dyDescent="0.35">
      <c r="B8" t="s">
        <v>5</v>
      </c>
    </row>
    <row r="9" spans="1:8" x14ac:dyDescent="0.35">
      <c r="B9" t="s">
        <v>6</v>
      </c>
    </row>
    <row r="10" spans="1:8" x14ac:dyDescent="0.35">
      <c r="B10" t="s">
        <v>7</v>
      </c>
    </row>
    <row r="11" spans="1:8" x14ac:dyDescent="0.35">
      <c r="B11" t="s">
        <v>8</v>
      </c>
    </row>
    <row r="12" spans="1:8" x14ac:dyDescent="0.35">
      <c r="B12" t="s">
        <v>9</v>
      </c>
    </row>
    <row r="14" spans="1:8" ht="17.5" x14ac:dyDescent="0.35">
      <c r="A14" s="8" t="s">
        <v>10</v>
      </c>
      <c r="B14" s="3"/>
    </row>
    <row r="16" spans="1:8" ht="18.5" x14ac:dyDescent="0.45">
      <c r="A16" s="5" t="s">
        <v>1</v>
      </c>
      <c r="B16" t="s">
        <v>11</v>
      </c>
    </row>
    <row r="17" spans="2:2" x14ac:dyDescent="0.35">
      <c r="B17" t="s">
        <v>12</v>
      </c>
    </row>
    <row r="18" spans="2:2" x14ac:dyDescent="0.35">
      <c r="B18" t="s">
        <v>13</v>
      </c>
    </row>
    <row r="19" spans="2:2" x14ac:dyDescent="0.35">
      <c r="B19" t="s">
        <v>14</v>
      </c>
    </row>
    <row r="20" spans="2:2" x14ac:dyDescent="0.35">
      <c r="B20" t="s">
        <v>15</v>
      </c>
    </row>
    <row r="21" spans="2:2" x14ac:dyDescent="0.35">
      <c r="B21" t="s">
        <v>16</v>
      </c>
    </row>
    <row r="22" spans="2:2" x14ac:dyDescent="0.35">
      <c r="B22"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9"/>
  <sheetViews>
    <sheetView workbookViewId="0">
      <selection activeCell="C12" sqref="C12"/>
    </sheetView>
  </sheetViews>
  <sheetFormatPr defaultRowHeight="14.5" x14ac:dyDescent="0.35"/>
  <cols>
    <col min="1" max="1" width="8.7265625" customWidth="1"/>
    <col min="2" max="2" width="10.453125" customWidth="1"/>
    <col min="3" max="3" width="9" bestFit="1" customWidth="1"/>
    <col min="4" max="4" width="10.90625" bestFit="1" customWidth="1"/>
    <col min="5" max="5" width="5.81640625" customWidth="1"/>
  </cols>
  <sheetData>
    <row r="1" spans="1:19" ht="18.5" x14ac:dyDescent="0.45">
      <c r="A1" s="2" t="s">
        <v>19</v>
      </c>
      <c r="B1" s="2" t="s">
        <v>18</v>
      </c>
      <c r="C1" s="3"/>
      <c r="D1" s="3"/>
      <c r="E1" s="3"/>
      <c r="F1" s="3"/>
      <c r="G1" s="3"/>
      <c r="H1" s="3"/>
      <c r="I1" s="3"/>
      <c r="J1" s="3"/>
      <c r="K1" s="3"/>
      <c r="L1" s="3"/>
      <c r="M1" s="3"/>
      <c r="N1" s="3"/>
      <c r="O1" s="3"/>
      <c r="P1" s="3"/>
      <c r="Q1" s="3"/>
      <c r="R1" s="3"/>
      <c r="S1" s="3"/>
    </row>
    <row r="2" spans="1:19" ht="18.5" x14ac:dyDescent="0.45">
      <c r="A2" s="1"/>
      <c r="B2" s="1"/>
    </row>
    <row r="3" spans="1:19" ht="18.5" x14ac:dyDescent="0.45">
      <c r="A3" s="1"/>
      <c r="B3" s="17"/>
      <c r="C3" s="17"/>
      <c r="D3" s="17"/>
    </row>
    <row r="4" spans="1:19" ht="21" x14ac:dyDescent="0.5">
      <c r="A4" s="11" t="s">
        <v>20</v>
      </c>
      <c r="B4" s="7" t="s">
        <v>29</v>
      </c>
    </row>
    <row r="5" spans="1:19" ht="21" x14ac:dyDescent="0.5">
      <c r="A5" s="11"/>
      <c r="B5" s="15" t="s">
        <v>30</v>
      </c>
    </row>
    <row r="6" spans="1:19" ht="18.5" x14ac:dyDescent="0.45">
      <c r="A6" s="1"/>
      <c r="B6" s="14" t="s">
        <v>31</v>
      </c>
    </row>
    <row r="7" spans="1:19" ht="18.5" x14ac:dyDescent="0.45">
      <c r="A7" s="1"/>
      <c r="B7" s="14" t="s">
        <v>32</v>
      </c>
    </row>
    <row r="8" spans="1:19" ht="18.5" x14ac:dyDescent="0.45">
      <c r="A8" s="1"/>
      <c r="B8" s="14" t="s">
        <v>33</v>
      </c>
    </row>
    <row r="9" spans="1:19" ht="18.5" x14ac:dyDescent="0.45">
      <c r="A9" s="1"/>
      <c r="B9" s="16" t="s">
        <v>34</v>
      </c>
    </row>
    <row r="10" spans="1:19" ht="18.5" x14ac:dyDescent="0.45">
      <c r="A10" s="1"/>
      <c r="B10" s="14" t="s">
        <v>35</v>
      </c>
    </row>
    <row r="11" spans="1:19" ht="18.5" x14ac:dyDescent="0.45">
      <c r="A11" s="1"/>
      <c r="B11" s="14" t="s">
        <v>36</v>
      </c>
    </row>
    <row r="12" spans="1:19" ht="18.5" x14ac:dyDescent="0.45">
      <c r="A12" s="1"/>
      <c r="B12" s="14" t="s">
        <v>37</v>
      </c>
    </row>
    <row r="13" spans="1:19" ht="18.5" x14ac:dyDescent="0.45">
      <c r="A13" s="1"/>
      <c r="B13" s="14" t="s">
        <v>38</v>
      </c>
    </row>
    <row r="14" spans="1:19" ht="18.5" x14ac:dyDescent="0.45">
      <c r="A14" s="1"/>
    </row>
    <row r="16" spans="1:19" ht="21" x14ac:dyDescent="0.5">
      <c r="A16" s="11" t="s">
        <v>20</v>
      </c>
      <c r="C16" s="13" t="s">
        <v>21</v>
      </c>
      <c r="D16" s="13" t="s">
        <v>24</v>
      </c>
      <c r="E16" s="13" t="s">
        <v>25</v>
      </c>
    </row>
    <row r="17" spans="1:5" ht="21" x14ac:dyDescent="0.5">
      <c r="A17" s="11"/>
      <c r="C17" s="12" t="s">
        <v>27</v>
      </c>
      <c r="D17" s="12" t="s">
        <v>22</v>
      </c>
      <c r="E17" s="12">
        <v>5000</v>
      </c>
    </row>
    <row r="18" spans="1:5" x14ac:dyDescent="0.35">
      <c r="C18" s="12" t="s">
        <v>26</v>
      </c>
      <c r="D18" s="12" t="s">
        <v>23</v>
      </c>
      <c r="E18" s="12">
        <v>4000</v>
      </c>
    </row>
    <row r="19" spans="1:5" x14ac:dyDescent="0.35">
      <c r="C19" s="12" t="s">
        <v>28</v>
      </c>
      <c r="D19" s="12" t="s">
        <v>23</v>
      </c>
      <c r="E19" s="12">
        <v>2500</v>
      </c>
    </row>
  </sheetData>
  <autoFilter ref="C16:E19" xr:uid="{00000000-0009-0000-0000-000001000000}">
    <sortState xmlns:xlrd2="http://schemas.microsoft.com/office/spreadsheetml/2017/richdata2" ref="C4:E6">
      <sortCondition ref="D4:D6"/>
      <sortCondition descending="1" ref="E4:E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6"/>
  <sheetViews>
    <sheetView workbookViewId="0">
      <selection activeCell="B6" sqref="B6"/>
    </sheetView>
  </sheetViews>
  <sheetFormatPr defaultRowHeight="14.5" x14ac:dyDescent="0.35"/>
  <cols>
    <col min="2" max="2" width="19.7265625" bestFit="1" customWidth="1"/>
  </cols>
  <sheetData>
    <row r="1" spans="1:13" ht="18.5" x14ac:dyDescent="0.45">
      <c r="A1" s="2" t="s">
        <v>39</v>
      </c>
      <c r="B1" s="2" t="s">
        <v>40</v>
      </c>
      <c r="C1" s="2"/>
      <c r="D1" s="2"/>
      <c r="E1" s="2"/>
      <c r="F1" s="2"/>
      <c r="G1" s="2"/>
      <c r="H1" s="2"/>
      <c r="I1" s="2"/>
      <c r="J1" s="2"/>
      <c r="K1" s="2"/>
      <c r="L1" s="3"/>
      <c r="M1" s="3"/>
    </row>
    <row r="3" spans="1:13" ht="18.5" x14ac:dyDescent="0.45">
      <c r="A3" s="10" t="s">
        <v>41</v>
      </c>
      <c r="B3" s="4" t="s">
        <v>42</v>
      </c>
    </row>
    <row r="4" spans="1:13" x14ac:dyDescent="0.35">
      <c r="B4" t="s">
        <v>43</v>
      </c>
    </row>
    <row r="5" spans="1:13" x14ac:dyDescent="0.35">
      <c r="B5" s="18" t="s">
        <v>44</v>
      </c>
    </row>
    <row r="6" spans="1:13" x14ac:dyDescent="0.35">
      <c r="B6" s="21" t="s">
        <v>108</v>
      </c>
    </row>
    <row r="8" spans="1:13" x14ac:dyDescent="0.35">
      <c r="B8" s="4" t="s">
        <v>45</v>
      </c>
    </row>
    <row r="9" spans="1:13" x14ac:dyDescent="0.35">
      <c r="B9" t="s">
        <v>46</v>
      </c>
    </row>
    <row r="10" spans="1:13" x14ac:dyDescent="0.35">
      <c r="B10" s="18" t="s">
        <v>47</v>
      </c>
    </row>
    <row r="11" spans="1:13" x14ac:dyDescent="0.35">
      <c r="B11" s="21" t="s">
        <v>109</v>
      </c>
    </row>
    <row r="13" spans="1:13" x14ac:dyDescent="0.35">
      <c r="B13" s="4" t="s">
        <v>48</v>
      </c>
    </row>
    <row r="14" spans="1:13" x14ac:dyDescent="0.35">
      <c r="B14" t="s">
        <v>49</v>
      </c>
    </row>
    <row r="15" spans="1:13" x14ac:dyDescent="0.35">
      <c r="B15" s="18" t="s">
        <v>50</v>
      </c>
    </row>
    <row r="16" spans="1:13" x14ac:dyDescent="0.35">
      <c r="B16" s="21" t="s">
        <v>110</v>
      </c>
    </row>
    <row r="18" spans="2:2" x14ac:dyDescent="0.35">
      <c r="B18" s="4" t="s">
        <v>51</v>
      </c>
    </row>
    <row r="19" spans="2:2" x14ac:dyDescent="0.35">
      <c r="B19" t="s">
        <v>52</v>
      </c>
    </row>
    <row r="20" spans="2:2" x14ac:dyDescent="0.35">
      <c r="B20" s="18" t="s">
        <v>53</v>
      </c>
    </row>
    <row r="21" spans="2:2" x14ac:dyDescent="0.35">
      <c r="B21" s="21" t="s">
        <v>111</v>
      </c>
    </row>
    <row r="23" spans="2:2" x14ac:dyDescent="0.35">
      <c r="B23" s="4" t="s">
        <v>54</v>
      </c>
    </row>
    <row r="24" spans="2:2" x14ac:dyDescent="0.35">
      <c r="B24" t="s">
        <v>55</v>
      </c>
    </row>
    <row r="25" spans="2:2" x14ac:dyDescent="0.35">
      <c r="B25" s="18" t="s">
        <v>56</v>
      </c>
    </row>
    <row r="26" spans="2:2" x14ac:dyDescent="0.35">
      <c r="B26" s="21" t="s">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workbookViewId="0">
      <selection activeCell="B5" sqref="B5"/>
    </sheetView>
  </sheetViews>
  <sheetFormatPr defaultRowHeight="14.5" x14ac:dyDescent="0.35"/>
  <cols>
    <col min="1" max="1" width="10.08984375" customWidth="1"/>
  </cols>
  <sheetData>
    <row r="1" spans="1:10" ht="18.5" x14ac:dyDescent="0.45">
      <c r="A1" s="2" t="s">
        <v>57</v>
      </c>
      <c r="B1" s="2" t="s">
        <v>58</v>
      </c>
      <c r="C1" s="9"/>
      <c r="D1" s="9"/>
      <c r="E1" s="9"/>
      <c r="F1" s="9"/>
      <c r="G1" s="9"/>
      <c r="H1" s="9"/>
      <c r="I1" s="9"/>
      <c r="J1" s="3"/>
    </row>
    <row r="3" spans="1:10" ht="18.5" x14ac:dyDescent="0.45">
      <c r="A3" s="10" t="s">
        <v>20</v>
      </c>
      <c r="B3" s="7" t="s">
        <v>66</v>
      </c>
    </row>
    <row r="5" spans="1:10" x14ac:dyDescent="0.35">
      <c r="B5" t="s">
        <v>59</v>
      </c>
    </row>
    <row r="7" spans="1:10" x14ac:dyDescent="0.35">
      <c r="B7" s="4" t="s">
        <v>60</v>
      </c>
    </row>
    <row r="8" spans="1:10" x14ac:dyDescent="0.35">
      <c r="B8" s="14"/>
    </row>
    <row r="9" spans="1:10" x14ac:dyDescent="0.35">
      <c r="B9" s="15" t="s">
        <v>61</v>
      </c>
    </row>
    <row r="10" spans="1:10" x14ac:dyDescent="0.35">
      <c r="B10" s="14"/>
    </row>
    <row r="11" spans="1:10" x14ac:dyDescent="0.35">
      <c r="B11" s="15" t="s">
        <v>62</v>
      </c>
    </row>
    <row r="12" spans="1:10" x14ac:dyDescent="0.35">
      <c r="B12" s="14"/>
    </row>
    <row r="13" spans="1:10" x14ac:dyDescent="0.35">
      <c r="B13" s="15" t="s">
        <v>63</v>
      </c>
    </row>
    <row r="14" spans="1:10" x14ac:dyDescent="0.35">
      <c r="B14" s="14"/>
    </row>
    <row r="15" spans="1:10" x14ac:dyDescent="0.35">
      <c r="B15" s="15" t="s">
        <v>64</v>
      </c>
    </row>
    <row r="16" spans="1:10" x14ac:dyDescent="0.35">
      <c r="B16" s="14"/>
    </row>
    <row r="17" spans="2:2" x14ac:dyDescent="0.35">
      <c r="B17" s="15" t="s">
        <v>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4"/>
  <sheetViews>
    <sheetView topLeftCell="A4" workbookViewId="0">
      <selection activeCell="D26" sqref="D26"/>
    </sheetView>
  </sheetViews>
  <sheetFormatPr defaultRowHeight="14.5" x14ac:dyDescent="0.35"/>
  <cols>
    <col min="1" max="1" width="10.26953125" bestFit="1" customWidth="1"/>
    <col min="2" max="2" width="28" customWidth="1"/>
    <col min="3" max="3" width="13.36328125" bestFit="1" customWidth="1"/>
    <col min="4" max="4" width="12.08984375" bestFit="1" customWidth="1"/>
    <col min="5" max="5" width="8.6328125" customWidth="1"/>
    <col min="6" max="6" width="11.6328125" bestFit="1" customWidth="1"/>
  </cols>
  <sheetData>
    <row r="1" spans="1:6" x14ac:dyDescent="0.35">
      <c r="A1" s="19" t="s">
        <v>67</v>
      </c>
      <c r="B1" t="s">
        <v>93</v>
      </c>
    </row>
    <row r="4" spans="1:6" x14ac:dyDescent="0.35">
      <c r="B4" s="20" t="s">
        <v>68</v>
      </c>
      <c r="C4" s="20" t="s">
        <v>69</v>
      </c>
      <c r="D4" s="20" t="s">
        <v>70</v>
      </c>
      <c r="E4" s="20" t="s">
        <v>71</v>
      </c>
      <c r="F4" s="20" t="s">
        <v>72</v>
      </c>
    </row>
    <row r="5" spans="1:6" x14ac:dyDescent="0.35">
      <c r="B5" s="12" t="s">
        <v>73</v>
      </c>
      <c r="C5" s="12" t="s">
        <v>74</v>
      </c>
      <c r="D5" s="12" t="s">
        <v>75</v>
      </c>
      <c r="E5" s="12" t="s">
        <v>76</v>
      </c>
      <c r="F5" s="12">
        <v>81</v>
      </c>
    </row>
    <row r="6" spans="1:6" x14ac:dyDescent="0.35">
      <c r="B6" s="12" t="s">
        <v>77</v>
      </c>
      <c r="C6" s="12" t="s">
        <v>78</v>
      </c>
      <c r="D6" s="12" t="s">
        <v>75</v>
      </c>
      <c r="E6" s="12" t="s">
        <v>76</v>
      </c>
      <c r="F6" s="12">
        <v>121</v>
      </c>
    </row>
    <row r="7" spans="1:6" x14ac:dyDescent="0.35">
      <c r="B7" s="12" t="s">
        <v>79</v>
      </c>
      <c r="C7" s="12" t="s">
        <v>80</v>
      </c>
      <c r="D7" s="12" t="s">
        <v>81</v>
      </c>
      <c r="E7" s="12" t="s">
        <v>76</v>
      </c>
      <c r="F7" s="12">
        <v>239</v>
      </c>
    </row>
    <row r="8" spans="1:6" x14ac:dyDescent="0.35">
      <c r="B8" s="12" t="s">
        <v>82</v>
      </c>
      <c r="C8" s="12" t="s">
        <v>74</v>
      </c>
      <c r="D8" s="12" t="s">
        <v>75</v>
      </c>
      <c r="E8" s="12" t="s">
        <v>76</v>
      </c>
      <c r="F8" s="12">
        <v>500</v>
      </c>
    </row>
    <row r="9" spans="1:6" x14ac:dyDescent="0.35">
      <c r="B9" s="12" t="s">
        <v>83</v>
      </c>
      <c r="C9" s="12" t="s">
        <v>84</v>
      </c>
      <c r="D9" s="12" t="s">
        <v>85</v>
      </c>
      <c r="E9" s="12" t="s">
        <v>76</v>
      </c>
      <c r="F9" s="12">
        <v>423</v>
      </c>
    </row>
    <row r="10" spans="1:6" x14ac:dyDescent="0.35">
      <c r="B10" s="12" t="s">
        <v>86</v>
      </c>
      <c r="C10" s="12" t="s">
        <v>87</v>
      </c>
      <c r="D10" s="12" t="s">
        <v>75</v>
      </c>
      <c r="E10" s="12" t="s">
        <v>76</v>
      </c>
      <c r="F10" s="12">
        <v>160</v>
      </c>
    </row>
    <row r="11" spans="1:6" x14ac:dyDescent="0.35">
      <c r="B11" s="12" t="s">
        <v>88</v>
      </c>
      <c r="C11" s="12" t="s">
        <v>89</v>
      </c>
      <c r="D11" s="12" t="s">
        <v>75</v>
      </c>
      <c r="E11" s="12" t="s">
        <v>76</v>
      </c>
      <c r="F11" s="12">
        <v>348</v>
      </c>
    </row>
    <row r="12" spans="1:6" x14ac:dyDescent="0.35">
      <c r="B12" s="12" t="s">
        <v>90</v>
      </c>
      <c r="C12" s="12" t="s">
        <v>89</v>
      </c>
      <c r="D12" s="12" t="s">
        <v>75</v>
      </c>
      <c r="E12" s="12" t="s">
        <v>76</v>
      </c>
      <c r="F12" s="12">
        <v>152</v>
      </c>
    </row>
    <row r="13" spans="1:6" x14ac:dyDescent="0.35">
      <c r="B13" s="12" t="s">
        <v>91</v>
      </c>
      <c r="C13" s="12" t="s">
        <v>92</v>
      </c>
      <c r="D13" s="12" t="s">
        <v>85</v>
      </c>
      <c r="E13" s="12" t="s">
        <v>76</v>
      </c>
      <c r="F13" s="12">
        <v>369</v>
      </c>
    </row>
    <row r="16" spans="1:6" ht="15" thickBot="1" x14ac:dyDescent="0.4"/>
    <row r="17" spans="1:15" ht="18.5" x14ac:dyDescent="0.45">
      <c r="A17" s="23" t="s">
        <v>113</v>
      </c>
      <c r="B17" s="20" t="s">
        <v>68</v>
      </c>
      <c r="C17" s="20" t="s">
        <v>69</v>
      </c>
      <c r="D17" s="20" t="s">
        <v>70</v>
      </c>
      <c r="E17" s="20" t="s">
        <v>71</v>
      </c>
      <c r="F17" s="20" t="s">
        <v>72</v>
      </c>
      <c r="H17" s="59" t="s">
        <v>114</v>
      </c>
      <c r="I17" s="60"/>
      <c r="J17" s="60"/>
      <c r="K17" s="60"/>
      <c r="L17" s="60"/>
      <c r="M17" s="60"/>
      <c r="N17" s="60"/>
      <c r="O17" s="61"/>
    </row>
    <row r="18" spans="1:15" x14ac:dyDescent="0.35">
      <c r="B18" s="12" t="s">
        <v>73</v>
      </c>
      <c r="C18" s="12" t="s">
        <v>74</v>
      </c>
      <c r="D18" s="12" t="s">
        <v>75</v>
      </c>
      <c r="E18" s="12" t="s">
        <v>76</v>
      </c>
      <c r="F18" s="12">
        <v>81</v>
      </c>
      <c r="H18" s="62"/>
      <c r="I18" s="63"/>
      <c r="J18" s="63"/>
      <c r="K18" s="63"/>
      <c r="L18" s="63"/>
      <c r="M18" s="63"/>
      <c r="N18" s="63"/>
      <c r="O18" s="64"/>
    </row>
    <row r="19" spans="1:15" x14ac:dyDescent="0.35">
      <c r="B19" s="12" t="s">
        <v>77</v>
      </c>
      <c r="C19" s="12" t="s">
        <v>78</v>
      </c>
      <c r="D19" s="12" t="s">
        <v>75</v>
      </c>
      <c r="E19" s="12" t="s">
        <v>76</v>
      </c>
      <c r="F19" s="12">
        <v>121</v>
      </c>
      <c r="H19" s="62"/>
      <c r="I19" s="63"/>
      <c r="J19" s="63"/>
      <c r="K19" s="63"/>
      <c r="L19" s="63"/>
      <c r="M19" s="63"/>
      <c r="N19" s="63"/>
      <c r="O19" s="64"/>
    </row>
    <row r="20" spans="1:15" x14ac:dyDescent="0.35">
      <c r="B20" s="12" t="s">
        <v>79</v>
      </c>
      <c r="C20" s="12" t="s">
        <v>80</v>
      </c>
      <c r="D20" s="12" t="s">
        <v>81</v>
      </c>
      <c r="E20" s="12" t="s">
        <v>76</v>
      </c>
      <c r="F20" s="12">
        <v>239</v>
      </c>
      <c r="H20" s="62"/>
      <c r="I20" s="63"/>
      <c r="J20" s="63"/>
      <c r="K20" s="63"/>
      <c r="L20" s="63"/>
      <c r="M20" s="63"/>
      <c r="N20" s="63"/>
      <c r="O20" s="64"/>
    </row>
    <row r="21" spans="1:15" x14ac:dyDescent="0.35">
      <c r="B21" s="12" t="s">
        <v>82</v>
      </c>
      <c r="C21" s="12" t="s">
        <v>74</v>
      </c>
      <c r="D21" s="12" t="s">
        <v>75</v>
      </c>
      <c r="E21" s="12" t="s">
        <v>76</v>
      </c>
      <c r="F21" s="12">
        <v>500</v>
      </c>
      <c r="H21" s="62"/>
      <c r="I21" s="63"/>
      <c r="J21" s="63"/>
      <c r="K21" s="63"/>
      <c r="L21" s="63"/>
      <c r="M21" s="63"/>
      <c r="N21" s="63"/>
      <c r="O21" s="64"/>
    </row>
    <row r="22" spans="1:15" x14ac:dyDescent="0.35">
      <c r="B22" s="12" t="s">
        <v>83</v>
      </c>
      <c r="C22" s="12" t="s">
        <v>84</v>
      </c>
      <c r="D22" s="12" t="s">
        <v>85</v>
      </c>
      <c r="E22" s="12" t="s">
        <v>76</v>
      </c>
      <c r="F22" s="12">
        <v>423</v>
      </c>
      <c r="H22" s="62"/>
      <c r="I22" s="63"/>
      <c r="J22" s="63"/>
      <c r="K22" s="63"/>
      <c r="L22" s="63"/>
      <c r="M22" s="63"/>
      <c r="N22" s="63"/>
      <c r="O22" s="64"/>
    </row>
    <row r="23" spans="1:15" x14ac:dyDescent="0.35">
      <c r="B23" s="12" t="s">
        <v>86</v>
      </c>
      <c r="C23" s="12" t="s">
        <v>87</v>
      </c>
      <c r="D23" s="12" t="s">
        <v>75</v>
      </c>
      <c r="E23" s="12" t="s">
        <v>76</v>
      </c>
      <c r="F23" s="12">
        <v>160</v>
      </c>
      <c r="H23" s="62"/>
      <c r="I23" s="63"/>
      <c r="J23" s="63"/>
      <c r="K23" s="63"/>
      <c r="L23" s="63"/>
      <c r="M23" s="63"/>
      <c r="N23" s="63"/>
      <c r="O23" s="64"/>
    </row>
    <row r="24" spans="1:15" x14ac:dyDescent="0.35">
      <c r="B24" s="12" t="s">
        <v>88</v>
      </c>
      <c r="C24" s="12" t="s">
        <v>89</v>
      </c>
      <c r="D24" s="12" t="s">
        <v>75</v>
      </c>
      <c r="E24" s="12" t="s">
        <v>76</v>
      </c>
      <c r="F24" s="12">
        <v>348</v>
      </c>
      <c r="H24" s="62"/>
      <c r="I24" s="63"/>
      <c r="J24" s="63"/>
      <c r="K24" s="63"/>
      <c r="L24" s="63"/>
      <c r="M24" s="63"/>
      <c r="N24" s="63"/>
      <c r="O24" s="64"/>
    </row>
    <row r="25" spans="1:15" x14ac:dyDescent="0.35">
      <c r="B25" s="12" t="s">
        <v>90</v>
      </c>
      <c r="C25" s="12" t="s">
        <v>89</v>
      </c>
      <c r="D25" s="12" t="s">
        <v>75</v>
      </c>
      <c r="E25" s="12" t="s">
        <v>76</v>
      </c>
      <c r="F25" s="12">
        <v>152</v>
      </c>
      <c r="H25" s="62"/>
      <c r="I25" s="63"/>
      <c r="J25" s="63"/>
      <c r="K25" s="63"/>
      <c r="L25" s="63"/>
      <c r="M25" s="63"/>
      <c r="N25" s="63"/>
      <c r="O25" s="64"/>
    </row>
    <row r="26" spans="1:15" x14ac:dyDescent="0.35">
      <c r="B26" s="12" t="s">
        <v>91</v>
      </c>
      <c r="C26" s="12" t="s">
        <v>92</v>
      </c>
      <c r="D26" s="12" t="s">
        <v>85</v>
      </c>
      <c r="E26" s="12" t="s">
        <v>76</v>
      </c>
      <c r="F26" s="12">
        <v>369</v>
      </c>
      <c r="H26" s="62"/>
      <c r="I26" s="63"/>
      <c r="J26" s="63"/>
      <c r="K26" s="63"/>
      <c r="L26" s="63"/>
      <c r="M26" s="63"/>
      <c r="N26" s="63"/>
      <c r="O26" s="64"/>
    </row>
    <row r="27" spans="1:15" x14ac:dyDescent="0.35">
      <c r="H27" s="62"/>
      <c r="I27" s="63"/>
      <c r="J27" s="63"/>
      <c r="K27" s="63"/>
      <c r="L27" s="63"/>
      <c r="M27" s="63"/>
      <c r="N27" s="63"/>
      <c r="O27" s="64"/>
    </row>
    <row r="28" spans="1:15" x14ac:dyDescent="0.35">
      <c r="H28" s="62"/>
      <c r="I28" s="63"/>
      <c r="J28" s="63"/>
      <c r="K28" s="63"/>
      <c r="L28" s="63"/>
      <c r="M28" s="63"/>
      <c r="N28" s="63"/>
      <c r="O28" s="64"/>
    </row>
    <row r="29" spans="1:15" x14ac:dyDescent="0.35">
      <c r="H29" s="62"/>
      <c r="I29" s="63"/>
      <c r="J29" s="63"/>
      <c r="K29" s="63"/>
      <c r="L29" s="63"/>
      <c r="M29" s="63"/>
      <c r="N29" s="63"/>
      <c r="O29" s="64"/>
    </row>
    <row r="30" spans="1:15" x14ac:dyDescent="0.35">
      <c r="H30" s="62"/>
      <c r="I30" s="63"/>
      <c r="J30" s="63"/>
      <c r="K30" s="63"/>
      <c r="L30" s="63"/>
      <c r="M30" s="63"/>
      <c r="N30" s="63"/>
      <c r="O30" s="64"/>
    </row>
    <row r="31" spans="1:15" x14ac:dyDescent="0.35">
      <c r="H31" s="62"/>
      <c r="I31" s="63"/>
      <c r="J31" s="63"/>
      <c r="K31" s="63"/>
      <c r="L31" s="63"/>
      <c r="M31" s="63"/>
      <c r="N31" s="63"/>
      <c r="O31" s="64"/>
    </row>
    <row r="32" spans="1:15" x14ac:dyDescent="0.35">
      <c r="H32" s="62"/>
      <c r="I32" s="63"/>
      <c r="J32" s="63"/>
      <c r="K32" s="63"/>
      <c r="L32" s="63"/>
      <c r="M32" s="63"/>
      <c r="N32" s="63"/>
      <c r="O32" s="64"/>
    </row>
    <row r="33" spans="8:15" x14ac:dyDescent="0.35">
      <c r="H33" s="62"/>
      <c r="I33" s="63"/>
      <c r="J33" s="63"/>
      <c r="K33" s="63"/>
      <c r="L33" s="63"/>
      <c r="M33" s="63"/>
      <c r="N33" s="63"/>
      <c r="O33" s="64"/>
    </row>
    <row r="34" spans="8:15" ht="15" thickBot="1" x14ac:dyDescent="0.4">
      <c r="H34" s="65"/>
      <c r="I34" s="66"/>
      <c r="J34" s="66"/>
      <c r="K34" s="66"/>
      <c r="L34" s="66"/>
      <c r="M34" s="66"/>
      <c r="N34" s="66"/>
      <c r="O34" s="67"/>
    </row>
  </sheetData>
  <mergeCells count="1">
    <mergeCell ref="H17:O34"/>
  </mergeCells>
  <dataValidations count="2">
    <dataValidation type="whole" allowBlank="1" showInputMessage="1" showErrorMessage="1" promptTitle="Invalid Input" prompt="Please Enter a Whole Number between 1 to 10." sqref="E19:E26" xr:uid="{00000000-0002-0000-0400-000000000000}">
      <formula1>1</formula1>
      <formula2>10</formula2>
    </dataValidation>
    <dataValidation type="whole" allowBlank="1" showInputMessage="1" showErrorMessage="1" errorTitle="Invalid Input!" error="The quantity must be a whole number between 1 and 10." prompt="Please Enter a Whole Number between 1 to 10." sqref="E18" xr:uid="{00000000-0002-0000-0400-000001000000}">
      <formula1>1</formula1>
      <formula2>10</formula2>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7"/>
  <sheetViews>
    <sheetView topLeftCell="A4" workbookViewId="0">
      <selection activeCell="E18" sqref="E18"/>
    </sheetView>
  </sheetViews>
  <sheetFormatPr defaultRowHeight="14.5" x14ac:dyDescent="0.35"/>
  <cols>
    <col min="2" max="2" width="18" customWidth="1"/>
  </cols>
  <sheetData>
    <row r="1" spans="1:3" s="1" customFormat="1" ht="18.5" x14ac:dyDescent="0.45">
      <c r="A1" s="1" t="s">
        <v>94</v>
      </c>
      <c r="B1" s="1" t="s">
        <v>95</v>
      </c>
    </row>
    <row r="3" spans="1:3" x14ac:dyDescent="0.35">
      <c r="A3" t="s">
        <v>96</v>
      </c>
      <c r="B3" t="s">
        <v>97</v>
      </c>
    </row>
    <row r="5" spans="1:3" x14ac:dyDescent="0.35">
      <c r="B5" t="s">
        <v>99</v>
      </c>
      <c r="C5" t="s">
        <v>1</v>
      </c>
    </row>
    <row r="6" spans="1:3" x14ac:dyDescent="0.35">
      <c r="B6" t="s">
        <v>98</v>
      </c>
      <c r="C6" s="3" t="str">
        <f>LEFT(B6,5)</f>
        <v>Excel</v>
      </c>
    </row>
    <row r="8" spans="1:3" x14ac:dyDescent="0.35">
      <c r="A8" t="s">
        <v>96</v>
      </c>
      <c r="B8" t="s">
        <v>100</v>
      </c>
    </row>
    <row r="10" spans="1:3" x14ac:dyDescent="0.35">
      <c r="B10" t="s">
        <v>99</v>
      </c>
      <c r="C10" t="s">
        <v>102</v>
      </c>
    </row>
    <row r="11" spans="1:3" x14ac:dyDescent="0.35">
      <c r="B11" t="s">
        <v>101</v>
      </c>
      <c r="C11" s="3" t="str">
        <f>RIGHT(B11,4)</f>
        <v>xlsx</v>
      </c>
    </row>
    <row r="13" spans="1:3" x14ac:dyDescent="0.35">
      <c r="A13" t="s">
        <v>96</v>
      </c>
      <c r="B13" t="s">
        <v>103</v>
      </c>
    </row>
    <row r="15" spans="1:3" x14ac:dyDescent="0.35">
      <c r="B15" t="s">
        <v>99</v>
      </c>
      <c r="C15" t="s">
        <v>102</v>
      </c>
    </row>
    <row r="16" spans="1:3" x14ac:dyDescent="0.35">
      <c r="B16" t="s">
        <v>98</v>
      </c>
      <c r="C16" s="3" t="str">
        <f>MID(B16,6,4)</f>
        <v>Tips</v>
      </c>
    </row>
    <row r="18" spans="1:3" x14ac:dyDescent="0.35">
      <c r="A18" t="s">
        <v>96</v>
      </c>
      <c r="B18" t="s">
        <v>104</v>
      </c>
    </row>
    <row r="20" spans="1:3" x14ac:dyDescent="0.35">
      <c r="B20" t="s">
        <v>99</v>
      </c>
      <c r="C20" t="s">
        <v>102</v>
      </c>
    </row>
    <row r="21" spans="1:3" x14ac:dyDescent="0.35">
      <c r="B21" t="s">
        <v>105</v>
      </c>
      <c r="C21" s="3">
        <f>LEN(B21)</f>
        <v>12</v>
      </c>
    </row>
    <row r="23" spans="1:3" x14ac:dyDescent="0.35">
      <c r="A23" t="s">
        <v>96</v>
      </c>
      <c r="B23" t="s">
        <v>106</v>
      </c>
    </row>
    <row r="25" spans="1:3" x14ac:dyDescent="0.35">
      <c r="B25" t="s">
        <v>99</v>
      </c>
      <c r="C25" t="s">
        <v>102</v>
      </c>
    </row>
    <row r="26" spans="1:3" x14ac:dyDescent="0.35">
      <c r="B26" t="s">
        <v>107</v>
      </c>
      <c r="C26" s="3" t="str">
        <f>MID(B26,7,6)</f>
        <v>67890-</v>
      </c>
    </row>
    <row r="27" spans="1:3" x14ac:dyDescent="0.35">
      <c r="C27" t="s">
        <v>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31"/>
  <sheetViews>
    <sheetView topLeftCell="A15" workbookViewId="0">
      <selection activeCell="D19" sqref="D19"/>
    </sheetView>
  </sheetViews>
  <sheetFormatPr defaultRowHeight="14.5" x14ac:dyDescent="0.35"/>
  <cols>
    <col min="1" max="1" width="11.26953125" customWidth="1"/>
    <col min="2" max="2" width="11" customWidth="1"/>
    <col min="4" max="4" width="35" bestFit="1" customWidth="1"/>
    <col min="5" max="5" width="12" customWidth="1"/>
    <col min="6" max="6" width="11.26953125" customWidth="1"/>
    <col min="7" max="7" width="23.7265625" customWidth="1"/>
  </cols>
  <sheetData>
    <row r="2" spans="1:12" ht="18.5" x14ac:dyDescent="0.45">
      <c r="A2" s="25" t="s">
        <v>117</v>
      </c>
      <c r="B2" s="26"/>
      <c r="C2" s="26"/>
      <c r="D2" s="26"/>
      <c r="E2" s="26"/>
      <c r="F2" s="26"/>
      <c r="G2" s="26"/>
      <c r="H2" s="26"/>
      <c r="I2" s="26"/>
      <c r="J2" s="27"/>
      <c r="K2" s="28"/>
    </row>
    <row r="4" spans="1:12" x14ac:dyDescent="0.35">
      <c r="A4" s="29" t="s">
        <v>118</v>
      </c>
      <c r="B4" s="30" t="s">
        <v>119</v>
      </c>
      <c r="C4" s="30"/>
      <c r="D4" s="30"/>
      <c r="E4" s="30"/>
      <c r="F4" s="30"/>
      <c r="G4" s="4"/>
      <c r="H4" s="4"/>
    </row>
    <row r="5" spans="1:12" x14ac:dyDescent="0.35">
      <c r="B5" s="4" t="s">
        <v>120</v>
      </c>
      <c r="C5" s="31" t="s">
        <v>121</v>
      </c>
      <c r="D5" s="31" t="s">
        <v>122</v>
      </c>
      <c r="E5" s="3" t="str">
        <f>CONCATENATE(C5," ",D5)</f>
        <v>Hello World</v>
      </c>
    </row>
    <row r="6" spans="1:12" x14ac:dyDescent="0.35">
      <c r="B6" s="4" t="s">
        <v>123</v>
      </c>
    </row>
    <row r="8" spans="1:12" x14ac:dyDescent="0.35">
      <c r="A8" s="29" t="s">
        <v>124</v>
      </c>
      <c r="B8" s="30" t="s">
        <v>125</v>
      </c>
      <c r="C8" s="30"/>
      <c r="D8" s="30"/>
      <c r="E8" s="30"/>
      <c r="F8" s="30"/>
      <c r="G8" s="30"/>
      <c r="H8" s="4"/>
      <c r="I8" s="4"/>
      <c r="J8" s="4"/>
      <c r="K8" s="4"/>
    </row>
    <row r="9" spans="1:12" x14ac:dyDescent="0.35">
      <c r="B9" s="4" t="s">
        <v>120</v>
      </c>
      <c r="C9" t="s">
        <v>126</v>
      </c>
      <c r="D9" t="s">
        <v>127</v>
      </c>
      <c r="E9" t="s">
        <v>128</v>
      </c>
      <c r="G9" s="3" t="str">
        <f>_xlfn.TEXTJOIN(",",TRUE,C9,D9,E9)</f>
        <v>Apple ,Banana,Cherry</v>
      </c>
    </row>
    <row r="10" spans="1:12" x14ac:dyDescent="0.35">
      <c r="B10" s="4" t="s">
        <v>129</v>
      </c>
    </row>
    <row r="12" spans="1:12" x14ac:dyDescent="0.35">
      <c r="A12" s="29" t="s">
        <v>130</v>
      </c>
      <c r="B12" s="30" t="s">
        <v>131</v>
      </c>
      <c r="C12" s="30"/>
      <c r="D12" s="30"/>
      <c r="E12" s="30"/>
      <c r="F12" s="30"/>
      <c r="G12" s="30"/>
      <c r="H12" s="30"/>
      <c r="I12" s="4"/>
      <c r="J12" s="4"/>
      <c r="K12" s="4"/>
      <c r="L12" s="4"/>
    </row>
    <row r="13" spans="1:12" x14ac:dyDescent="0.35">
      <c r="B13" s="4" t="s">
        <v>120</v>
      </c>
      <c r="C13">
        <v>2025</v>
      </c>
      <c r="D13" t="s">
        <v>132</v>
      </c>
      <c r="E13" t="s">
        <v>133</v>
      </c>
      <c r="G13" s="3" t="str">
        <f>CONCATENATE(C13,D13,E13)</f>
        <v>2025:Excel function</v>
      </c>
    </row>
    <row r="14" spans="1:12" x14ac:dyDescent="0.35">
      <c r="B14" s="4" t="s">
        <v>134</v>
      </c>
    </row>
    <row r="15" spans="1:12" x14ac:dyDescent="0.35">
      <c r="A15" s="32"/>
    </row>
    <row r="16" spans="1:12" x14ac:dyDescent="0.35">
      <c r="A16" s="29" t="s">
        <v>135</v>
      </c>
      <c r="B16" s="30" t="s">
        <v>136</v>
      </c>
      <c r="C16" s="30"/>
      <c r="D16" s="30"/>
      <c r="E16" s="30"/>
      <c r="F16" s="4"/>
      <c r="G16" s="4"/>
    </row>
    <row r="17" spans="1:7" ht="15" thickBot="1" x14ac:dyDescent="0.4">
      <c r="B17" s="4" t="s">
        <v>137</v>
      </c>
    </row>
    <row r="18" spans="1:7" x14ac:dyDescent="0.35">
      <c r="B18" s="33" t="s">
        <v>138</v>
      </c>
      <c r="D18" s="3" t="str">
        <f>_xlfn.TEXTJOIN(",",TRUE,B18:B22)</f>
        <v>Apple,Banana,Cherry,Papaya,Orange</v>
      </c>
      <c r="E18" s="3"/>
      <c r="F18" s="3"/>
    </row>
    <row r="19" spans="1:7" x14ac:dyDescent="0.35">
      <c r="B19" s="34" t="s">
        <v>127</v>
      </c>
    </row>
    <row r="20" spans="1:7" x14ac:dyDescent="0.35">
      <c r="B20" s="34" t="s">
        <v>128</v>
      </c>
      <c r="D20" s="4" t="s">
        <v>139</v>
      </c>
      <c r="E20" s="4"/>
    </row>
    <row r="21" spans="1:7" x14ac:dyDescent="0.35">
      <c r="B21" s="34" t="s">
        <v>140</v>
      </c>
    </row>
    <row r="22" spans="1:7" ht="15" thickBot="1" x14ac:dyDescent="0.4">
      <c r="B22" s="35" t="s">
        <v>141</v>
      </c>
    </row>
    <row r="24" spans="1:7" x14ac:dyDescent="0.35">
      <c r="A24" s="29" t="s">
        <v>142</v>
      </c>
      <c r="B24" s="30" t="s">
        <v>143</v>
      </c>
      <c r="C24" s="30"/>
      <c r="D24" s="30"/>
      <c r="E24" s="30"/>
      <c r="F24" s="30"/>
      <c r="G24" s="30"/>
    </row>
    <row r="25" spans="1:7" x14ac:dyDescent="0.35">
      <c r="B25" s="36" t="s">
        <v>137</v>
      </c>
    </row>
    <row r="26" spans="1:7" ht="15" thickBot="1" x14ac:dyDescent="0.4">
      <c r="B26" s="4" t="s">
        <v>144</v>
      </c>
      <c r="C26" s="4"/>
      <c r="D26" s="4"/>
    </row>
    <row r="27" spans="1:7" x14ac:dyDescent="0.35">
      <c r="B27" s="37" t="s">
        <v>145</v>
      </c>
      <c r="C27" s="38" t="s">
        <v>146</v>
      </c>
      <c r="D27" s="39" t="s">
        <v>147</v>
      </c>
    </row>
    <row r="28" spans="1:7" x14ac:dyDescent="0.35">
      <c r="B28" s="40" t="s">
        <v>148</v>
      </c>
      <c r="C28" s="41" t="s">
        <v>149</v>
      </c>
      <c r="D28" s="42" t="str">
        <f>_xlfn.CONCAT(B28," ",C28)</f>
        <v>NIKHIL JHA</v>
      </c>
    </row>
    <row r="29" spans="1:7" x14ac:dyDescent="0.35">
      <c r="B29" s="40" t="s">
        <v>150</v>
      </c>
      <c r="C29" s="41" t="s">
        <v>149</v>
      </c>
      <c r="D29" s="42" t="str">
        <f t="shared" ref="D29:D31" si="0">_xlfn.CONCAT(B29," ",C29)</f>
        <v>AKHIL  JHA</v>
      </c>
    </row>
    <row r="30" spans="1:7" x14ac:dyDescent="0.35">
      <c r="B30" s="40" t="s">
        <v>151</v>
      </c>
      <c r="C30" s="41" t="s">
        <v>149</v>
      </c>
      <c r="D30" s="42" t="str">
        <f t="shared" si="0"/>
        <v>AYUSH JHA</v>
      </c>
    </row>
    <row r="31" spans="1:7" ht="15" thickBot="1" x14ac:dyDescent="0.4">
      <c r="B31" s="43" t="s">
        <v>152</v>
      </c>
      <c r="C31" s="44" t="s">
        <v>149</v>
      </c>
      <c r="D31" s="42" t="str">
        <f t="shared" si="0"/>
        <v>PRANAV JHA</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Q33"/>
  <sheetViews>
    <sheetView tabSelected="1" workbookViewId="0">
      <selection activeCell="D21" sqref="D21"/>
    </sheetView>
  </sheetViews>
  <sheetFormatPr defaultRowHeight="14.5" x14ac:dyDescent="0.35"/>
  <cols>
    <col min="1" max="1" width="15.6328125" customWidth="1"/>
    <col min="2" max="2" width="22.90625" customWidth="1"/>
    <col min="3" max="3" width="16.7265625" customWidth="1"/>
    <col min="4" max="4" width="20.26953125" customWidth="1"/>
  </cols>
  <sheetData>
    <row r="2" spans="1:14" ht="18.5" x14ac:dyDescent="0.45">
      <c r="A2" s="45" t="s">
        <v>153</v>
      </c>
      <c r="B2" s="45"/>
      <c r="C2" s="45"/>
      <c r="D2" s="45"/>
      <c r="E2" s="1"/>
      <c r="F2" s="1"/>
    </row>
    <row r="3" spans="1:14" x14ac:dyDescent="0.35">
      <c r="A3" s="4"/>
      <c r="B3" s="4"/>
      <c r="C3" s="4"/>
      <c r="D3" s="4"/>
      <c r="E3" s="4"/>
      <c r="F3" s="4"/>
    </row>
    <row r="4" spans="1:14" x14ac:dyDescent="0.35">
      <c r="A4" s="24" t="s">
        <v>118</v>
      </c>
      <c r="B4" s="4" t="s">
        <v>154</v>
      </c>
      <c r="C4" s="4"/>
      <c r="D4" s="4"/>
      <c r="E4" s="4"/>
      <c r="F4" s="4"/>
      <c r="G4" s="4"/>
      <c r="H4" s="4"/>
      <c r="I4" s="4"/>
      <c r="J4" s="4"/>
      <c r="K4" s="4"/>
    </row>
    <row r="5" spans="1:14" x14ac:dyDescent="0.35">
      <c r="A5" s="4"/>
      <c r="B5" s="4" t="s">
        <v>155</v>
      </c>
      <c r="C5" s="4"/>
      <c r="D5" s="4"/>
      <c r="E5" s="4"/>
      <c r="F5" s="4"/>
      <c r="G5" s="4"/>
      <c r="H5" s="4"/>
      <c r="I5" s="4"/>
      <c r="J5" s="4"/>
      <c r="K5" s="4"/>
    </row>
    <row r="6" spans="1:14" ht="18" x14ac:dyDescent="0.5">
      <c r="A6" s="32" t="s">
        <v>116</v>
      </c>
      <c r="B6" s="22" t="s">
        <v>156</v>
      </c>
      <c r="C6" s="22"/>
      <c r="D6" s="22"/>
      <c r="E6" s="22"/>
      <c r="F6" s="22"/>
      <c r="G6" s="22"/>
      <c r="H6" s="22"/>
      <c r="I6" s="22"/>
      <c r="J6" s="22"/>
      <c r="K6" s="22"/>
      <c r="L6" s="22"/>
      <c r="M6" s="22"/>
      <c r="N6" s="22"/>
    </row>
    <row r="7" spans="1:14" ht="18" x14ac:dyDescent="0.5">
      <c r="A7" s="32"/>
      <c r="B7" s="46" t="s">
        <v>157</v>
      </c>
      <c r="C7" s="22"/>
      <c r="D7" s="22"/>
      <c r="E7" s="22"/>
      <c r="F7" s="22"/>
      <c r="G7" s="22"/>
      <c r="H7" s="22"/>
      <c r="I7" s="22"/>
      <c r="J7" s="22"/>
      <c r="K7" s="22"/>
      <c r="L7" s="22"/>
      <c r="M7" s="22"/>
      <c r="N7" s="22"/>
    </row>
    <row r="9" spans="1:14" ht="18.5" x14ac:dyDescent="0.45">
      <c r="A9" t="s">
        <v>158</v>
      </c>
      <c r="B9" s="47" t="s">
        <v>159</v>
      </c>
      <c r="C9" s="48"/>
    </row>
    <row r="11" spans="1:14" ht="15.5" x14ac:dyDescent="0.35">
      <c r="A11" s="49" t="s">
        <v>160</v>
      </c>
      <c r="B11" s="50" t="s">
        <v>161</v>
      </c>
    </row>
    <row r="12" spans="1:14" ht="15.5" x14ac:dyDescent="0.35">
      <c r="A12" s="49"/>
    </row>
    <row r="13" spans="1:14" ht="18.5" x14ac:dyDescent="0.45">
      <c r="B13" s="47" t="s">
        <v>162</v>
      </c>
      <c r="C13" s="48"/>
    </row>
    <row r="15" spans="1:14" ht="15.5" x14ac:dyDescent="0.35">
      <c r="A15" s="49" t="s">
        <v>160</v>
      </c>
      <c r="B15" s="50" t="s">
        <v>163</v>
      </c>
      <c r="C15" s="51"/>
      <c r="D15" s="51"/>
    </row>
    <row r="16" spans="1:14" x14ac:dyDescent="0.35">
      <c r="B16" t="s">
        <v>164</v>
      </c>
      <c r="C16" s="51"/>
      <c r="D16" s="51"/>
    </row>
    <row r="18" spans="1:11" x14ac:dyDescent="0.35">
      <c r="B18" t="s">
        <v>165</v>
      </c>
      <c r="C18" s="51">
        <f ca="1">TODAY()</f>
        <v>46034</v>
      </c>
    </row>
    <row r="19" spans="1:11" x14ac:dyDescent="0.35">
      <c r="B19" t="s">
        <v>166</v>
      </c>
      <c r="C19" s="52">
        <f ca="1">NOW()</f>
        <v>46034.235065972221</v>
      </c>
      <c r="D19" s="51"/>
    </row>
    <row r="21" spans="1:11" x14ac:dyDescent="0.35">
      <c r="A21" s="24" t="s">
        <v>167</v>
      </c>
      <c r="B21" s="4" t="s">
        <v>168</v>
      </c>
      <c r="C21" s="4"/>
      <c r="D21" s="4"/>
      <c r="E21" s="4"/>
      <c r="F21" s="4"/>
      <c r="G21" s="4"/>
      <c r="H21" s="4"/>
      <c r="I21" s="4"/>
      <c r="J21" s="4"/>
      <c r="K21" s="4"/>
    </row>
    <row r="22" spans="1:11" x14ac:dyDescent="0.35">
      <c r="A22" s="32" t="s">
        <v>116</v>
      </c>
      <c r="B22" s="53" t="s">
        <v>169</v>
      </c>
      <c r="C22" s="53" t="s">
        <v>170</v>
      </c>
      <c r="D22" s="53" t="s">
        <v>171</v>
      </c>
    </row>
    <row r="23" spans="1:11" x14ac:dyDescent="0.35">
      <c r="B23" s="54">
        <v>45818</v>
      </c>
      <c r="C23" s="54">
        <f ca="1">TODAY()</f>
        <v>46034</v>
      </c>
      <c r="D23" s="55">
        <f ca="1">C23-B23</f>
        <v>216</v>
      </c>
      <c r="F23" s="56" t="s">
        <v>172</v>
      </c>
      <c r="G23" s="57"/>
    </row>
    <row r="24" spans="1:11" x14ac:dyDescent="0.35">
      <c r="A24" s="4"/>
      <c r="B24" s="4"/>
      <c r="C24" s="4"/>
      <c r="D24" s="4"/>
      <c r="E24" s="4"/>
      <c r="F24" s="4"/>
      <c r="G24" s="4"/>
      <c r="H24" s="4"/>
      <c r="I24" s="4"/>
    </row>
    <row r="25" spans="1:11" x14ac:dyDescent="0.35">
      <c r="A25" s="24" t="s">
        <v>130</v>
      </c>
      <c r="B25" s="4" t="s">
        <v>173</v>
      </c>
      <c r="C25" s="4"/>
      <c r="D25" s="4"/>
      <c r="E25" s="4"/>
      <c r="F25" s="4"/>
      <c r="G25" s="4"/>
      <c r="H25" s="4"/>
      <c r="I25" s="4"/>
    </row>
    <row r="26" spans="1:11" x14ac:dyDescent="0.35">
      <c r="A26" s="32" t="s">
        <v>116</v>
      </c>
      <c r="B26" s="58">
        <f ca="1">NOW()</f>
        <v>46034.235065972221</v>
      </c>
    </row>
    <row r="27" spans="1:11" x14ac:dyDescent="0.35">
      <c r="B27" t="s">
        <v>174</v>
      </c>
    </row>
    <row r="29" spans="1:11" x14ac:dyDescent="0.35">
      <c r="A29" s="24" t="s">
        <v>135</v>
      </c>
      <c r="B29" s="4" t="s">
        <v>175</v>
      </c>
    </row>
    <row r="30" spans="1:11" ht="16.5" x14ac:dyDescent="0.45">
      <c r="A30" s="32" t="s">
        <v>116</v>
      </c>
      <c r="B30" t="s">
        <v>176</v>
      </c>
    </row>
    <row r="32" spans="1:11" x14ac:dyDescent="0.35">
      <c r="A32" s="24" t="s">
        <v>142</v>
      </c>
      <c r="B32" s="4" t="s">
        <v>177</v>
      </c>
      <c r="C32" s="4"/>
      <c r="D32" s="4"/>
      <c r="E32" s="4"/>
      <c r="F32" s="4"/>
      <c r="G32" s="4"/>
      <c r="H32" s="4"/>
      <c r="I32" s="4"/>
      <c r="J32" s="4"/>
    </row>
    <row r="33" spans="1:17" x14ac:dyDescent="0.35">
      <c r="A33" s="32" t="s">
        <v>115</v>
      </c>
      <c r="B33" s="68" t="s">
        <v>178</v>
      </c>
      <c r="C33" s="68"/>
      <c r="D33" s="68"/>
      <c r="E33" s="68"/>
      <c r="F33" s="68"/>
      <c r="G33" s="68"/>
      <c r="H33" s="68"/>
      <c r="I33" s="68"/>
      <c r="J33" s="68"/>
      <c r="K33" s="68"/>
      <c r="L33" s="68"/>
      <c r="M33" s="68"/>
      <c r="N33" s="68"/>
      <c r="O33" s="68"/>
      <c r="P33" s="68"/>
      <c r="Q33" s="68"/>
    </row>
  </sheetData>
  <mergeCells count="1">
    <mergeCell ref="B33:Q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Questions 1</vt:lpstr>
      <vt:lpstr>Question 2</vt:lpstr>
      <vt:lpstr>Question 3</vt:lpstr>
      <vt:lpstr>Question 4</vt:lpstr>
      <vt:lpstr>Question 5</vt:lpstr>
      <vt:lpstr>Question 6</vt:lpstr>
      <vt:lpstr>Question 7</vt:lpstr>
      <vt:lpstr>Question 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Yadav</dc:creator>
  <cp:lastModifiedBy>Mascarenhas, Stephen EXT</cp:lastModifiedBy>
  <dcterms:created xsi:type="dcterms:W3CDTF">2026-01-11T11:21:16Z</dcterms:created>
  <dcterms:modified xsi:type="dcterms:W3CDTF">2026-01-12T13:38:45Z</dcterms:modified>
</cp:coreProperties>
</file>